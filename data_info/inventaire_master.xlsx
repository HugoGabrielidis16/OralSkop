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aire" sheetId="1" state="visible" r:id="rId3"/>
    <sheet name="Synthese" sheetId="2" state="visible" r:id="rId4"/>
    <sheet name="A_faire_demandes" sheetId="3" state="visible" r:id="rId5"/>
  </sheets>
  <definedNames>
    <definedName function="false" hidden="true" localSheetId="0" name="_xlnm._FilterDatabase" vbProcedure="false">Inventaire!$A$1:$L$33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<sst xmlns="http://schemas.openxmlformats.org/spreadsheetml/2006/main" count="431" uniqueCount="247">
  <si>
    <t xml:space="preserve">Dataset</t>
  </si>
  <si>
    <t xml:space="preserve">Pathologie(s)</t>
  </si>
  <si>
    <t xml:space="preserve">Source</t>
  </si>
  <si>
    <t xml:space="preserve">URL / DOI</t>
  </si>
  <si>
    <t xml:space="preserve"># images</t>
  </si>
  <si>
    <t xml:space="preserve">Licence</t>
  </si>
  <si>
    <t xml:space="preserve">Startup OK</t>
  </si>
  <si>
    <t xml:space="preserve">Modalite</t>
  </si>
  <si>
    <t xml:space="preserve">Statut</t>
  </si>
  <si>
    <t xml:space="preserve">Dossier RAW</t>
  </si>
  <si>
    <t xml:space="preserve">Dedup contre</t>
  </si>
  <si>
    <t xml:space="preserve">Notes</t>
  </si>
  <si>
    <t xml:space="preserve">Mithi / Ahmed 2025</t>
  </si>
  <si>
    <t xml:space="preserve">Caries</t>
  </si>
  <si>
    <t xml:space="preserve">Zenodo</t>
  </si>
  <si>
    <t xml:space="preserve">10.5281/zenodo.14827784</t>
  </si>
  <si>
    <t xml:space="preserve">CC BY 4.0</t>
  </si>
  <si>
    <t xml:space="preserve">OUI</t>
  </si>
  <si>
    <t xml:space="preserve">Photo smartphone</t>
  </si>
  <si>
    <t xml:space="preserve">Telecharge</t>
  </si>
  <si>
    <t xml:space="preserve">01_RAW/CARIES/mithi_ahmed_2025/</t>
  </si>
  <si>
    <t xml:space="preserve">-</t>
  </si>
  <si>
    <t xml:space="preserve">MEILLEURE base clinique caries (Bangladesh/smartphone)</t>
  </si>
  <si>
    <t xml:space="preserve">AlphaDent (Sosnin 2025)</t>
  </si>
  <si>
    <t xml:space="preserve">GitHub</t>
  </si>
  <si>
    <t xml:space="preserve">ZFTurbo/AlphaDent</t>
  </si>
  <si>
    <t xml:space="preserve">Apache 2.0</t>
  </si>
  <si>
    <t xml:space="preserve">DSLR macro</t>
  </si>
  <si>
    <t xml:space="preserve">01_RAW/CARIES/alphadent_2025/</t>
  </si>
  <si>
    <t xml:space="preserve">1320 img / 295 patients, macro haute qualite</t>
  </si>
  <si>
    <t xml:space="preserve">Caries-Spectra</t>
  </si>
  <si>
    <t xml:space="preserve">Mendeley</t>
  </si>
  <si>
    <t xml:space="preserve">10.17632/9jnf2jvghy.2</t>
  </si>
  <si>
    <t xml:space="preserve">Photo</t>
  </si>
  <si>
    <t xml:space="preserve">01_RAW/CARIES/caries_spectra/</t>
  </si>
  <si>
    <t xml:space="preserve">2000 img (Bangladesh)</t>
  </si>
  <si>
    <t xml:space="preserve">AICaries / SMARTeeth</t>
  </si>
  <si>
    <t xml:space="preserve">Rochester (demande)</t>
  </si>
  <si>
    <t xml:space="preserve">email Jin Xiao</t>
  </si>
  <si>
    <t xml:space="preserve">Sur demande</t>
  </si>
  <si>
    <t xml:space="preserve">?</t>
  </si>
  <si>
    <t xml:space="preserve">SUR DEMANDE</t>
  </si>
  <si>
    <t xml:space="preserve">03_SUR_DEMANDE/</t>
  </si>
  <si>
    <t xml:space="preserve">Email Jin_Xiao@urmc.rochester.edu (groupe avec AI-Plaque)</t>
  </si>
  <si>
    <t xml:space="preserve">Gingivitis MGI Hanoi</t>
  </si>
  <si>
    <t xml:space="preserve">Gingivite</t>
  </si>
  <si>
    <t xml:space="preserve">10.17632/3253gj88rr.1</t>
  </si>
  <si>
    <t xml:space="preserve">DSLR</t>
  </si>
  <si>
    <t xml:space="preserve">01_RAW/GINGIVITE/gingivitis_mgi_hanoi/</t>
  </si>
  <si>
    <t xml:space="preserve">PIVOT - seul dataset avec MGI calibre 0-4 (6.1GB)</t>
  </si>
  <si>
    <t xml:space="preserve">Oral-Mamba / Liu 2024</t>
  </si>
  <si>
    <t xml:space="preserve">Gingivite + Calculus</t>
  </si>
  <si>
    <t xml:space="preserve">BMC Oral Health</t>
  </si>
  <si>
    <t xml:space="preserve">10.1186/s12903-024-05072-1</t>
  </si>
  <si>
    <t xml:space="preserve">CC BY-NC-ND</t>
  </si>
  <si>
    <t xml:space="preserve">NON</t>
  </si>
  <si>
    <t xml:space="preserve">01_RAW/GINGIVITE/oral_mamba_liu_2024/</t>
  </si>
  <si>
    <t xml:space="preserve">Sajid</t>
  </si>
  <si>
    <t xml:space="preserve">SOUS-ENSEMBLE de Sajid. Calculus seg 0-3. NC-ND=startup NON</t>
  </si>
  <si>
    <t xml:space="preserve">PKNU calculus</t>
  </si>
  <si>
    <t xml:space="preserve">Calculus/Tartre</t>
  </si>
  <si>
    <t xml:space="preserve">PKNU-PR-ML-Lab/calculus</t>
  </si>
  <si>
    <t xml:space="preserve">MIT</t>
  </si>
  <si>
    <t xml:space="preserve">01_RAW/GINGIVITE/pknu_calculus/</t>
  </si>
  <si>
    <t xml:space="preserve">Dataset dedie tartre, ~220 img</t>
  </si>
  <si>
    <t xml:space="preserve">imageseg fdams</t>
  </si>
  <si>
    <t xml:space="preserve">Roboflow</t>
  </si>
  <si>
    <t xml:space="preserve">image-segmentation-ltmbq/gingivitis-dataset-fdams</t>
  </si>
  <si>
    <t xml:space="preserve">01_RAW/GINGIVITE/imageseg_fdams/</t>
  </si>
  <si>
    <t xml:space="preserve">Obscur, 162 img</t>
  </si>
  <si>
    <t xml:space="preserve">MeMoSA</t>
  </si>
  <si>
    <t xml:space="preserve">OPMD/OSCC</t>
  </si>
  <si>
    <t xml:space="preserve">Plateforme (demande)</t>
  </si>
  <si>
    <t xml:space="preserve">workbench.memosa.my</t>
  </si>
  <si>
    <t xml:space="preserve">Creer compte plateforme</t>
  </si>
  <si>
    <t xml:space="preserve">CODE (Ragas/ICMR)</t>
  </si>
  <si>
    <t xml:space="preserve">figshare</t>
  </si>
  <si>
    <t xml:space="preserve">10.6084/m9.figshare.30550889</t>
  </si>
  <si>
    <t xml:space="preserve">01_RAW/OPMD_OSCC/code_ragas_icmr/</t>
  </si>
  <si>
    <t xml:space="preserve">SMART-OM</t>
  </si>
  <si>
    <t xml:space="preserve">16.12GB. 704 participants (Ragas Dental College+ICMR)</t>
  </si>
  <si>
    <t xml:space="preserve">10.6084/m9.figshare.31341790</t>
  </si>
  <si>
    <t xml:space="preserve">01_RAW/OPMD_OSCC/smart_om/</t>
  </si>
  <si>
    <t xml:space="preserve">CODE</t>
  </si>
  <si>
    <t xml:space="preserve">2469 img / 331 sujets. CHEVAUCHE CODE -&gt; dedup</t>
  </si>
  <si>
    <t xml:space="preserve">Cairo / Ayman</t>
  </si>
  <si>
    <t xml:space="preserve">Zenodo (demande)</t>
  </si>
  <si>
    <t xml:space="preserve">10.5281/zenodo.14571990</t>
  </si>
  <si>
    <t xml:space="preserve">CC BY / NC-ND (conflit)</t>
  </si>
  <si>
    <t xml:space="preserve">BLOQUE: email institutionnel + PI nomme requis</t>
  </si>
  <si>
    <t xml:space="preserve">Piyarathne Sri Lanka</t>
  </si>
  <si>
    <t xml:space="preserve">10.5281/zenodo.10664056</t>
  </si>
  <si>
    <t xml:space="preserve">Meme blocage que Cairo (1 setup debloque les deux). COCO+betel-quid</t>
  </si>
  <si>
    <t xml:space="preserve">Oral Images (Chandrashekar)</t>
  </si>
  <si>
    <t xml:space="preserve">10.17632/mhjyrn35p4.2</t>
  </si>
  <si>
    <t xml:space="preserve">01_RAW/OPMD_OSCC/oral_images_chandrashekar/</t>
  </si>
  <si>
    <t xml:space="preserve">323 originales (165 benign/158 malig). Ignorer augmentees</t>
  </si>
  <si>
    <t xml:space="preserve">Kaggle Lips &amp; Tongue (shivam17299)</t>
  </si>
  <si>
    <t xml:space="preserve">Kaggle</t>
  </si>
  <si>
    <t xml:space="preserve">shivam17299</t>
  </si>
  <si>
    <t xml:space="preserve">(c) Original Authors</t>
  </si>
  <si>
    <t xml:space="preserve">01_RAW/OPMD_OSCC/kaggle_lips_tongue_shivam/</t>
  </si>
  <si>
    <t xml:space="preserve">Pas de grant de licence -&gt; hackathon only</t>
  </si>
  <si>
    <t xml:space="preserve">Oral Cancer (smahmedhassan)</t>
  </si>
  <si>
    <t xml:space="preserve">smahmedhassan</t>
  </si>
  <si>
    <t xml:space="preserve">Unknown</t>
  </si>
  <si>
    <t xml:space="preserve">01_RAW/OPMD_OSCC/kaggle_oral_cancer_smahmedhassan/</t>
  </si>
  <si>
    <t xml:space="preserve">241 img (111 cancer/130 non). Modalite verifiee photo</t>
  </si>
  <si>
    <t xml:space="preserve">MetaDent</t>
  </si>
  <si>
    <t xml:space="preserve">Multi (18 labels)</t>
  </si>
  <si>
    <t xml:space="preserve">HuggingFace</t>
  </si>
  <si>
    <t xml:space="preserve">10.1177/00220345261424242</t>
  </si>
  <si>
    <t xml:space="preserve">CC BY-NC 4.0</t>
  </si>
  <si>
    <t xml:space="preserve">Photo (web-scraped 77%)</t>
  </si>
  <si>
    <t xml:space="preserve">01_RAW/MULTI/metadent/</t>
  </si>
  <si>
    <t xml:space="preserve">PLUS GROS asset pretrain. Filtrer DS3 COYO (image_type=natural-human). NC=startup NON</t>
  </si>
  <si>
    <t xml:space="preserve">Sajid Oral Diseases</t>
  </si>
  <si>
    <t xml:space="preserve">Multi (6 cond.)</t>
  </si>
  <si>
    <t xml:space="preserve">salmansajid05/oral-diseases</t>
  </si>
  <si>
    <t xml:space="preserve">01_RAW/MULTI/sajid_oral_diseases/</t>
  </si>
  <si>
    <t xml:space="preserve">ANCRE dedup</t>
  </si>
  <si>
    <t xml:space="preserve">ANCRE DEDUP - source amont de bcp d'autres. SEULE source hypodontie native. Split par patient</t>
  </si>
  <si>
    <t xml:space="preserve">MOD Rashid</t>
  </si>
  <si>
    <t xml:space="preserve">Multi (7 classes)</t>
  </si>
  <si>
    <t xml:space="preserve">javedrashid/mouth-and-oral-diseases-mod</t>
  </si>
  <si>
    <t xml:space="preserve">01_RAW/MULTI/mod_rashid/</t>
  </si>
  <si>
    <t xml:space="preserve">Meilleur pour RARE: herpes/thrush/lichen planus</t>
  </si>
  <si>
    <t xml:space="preserve">roboflow dental-data2-87ne6</t>
  </si>
  <si>
    <t xml:space="preserve">Multi (6 classes)</t>
  </si>
  <si>
    <t xml:space="preserve">dental-data2-87ne6</t>
  </si>
  <si>
    <t xml:space="preserve">01_RAW/MULTI/roboflow_dental_data2_87ne6/</t>
  </si>
  <si>
    <t xml:space="preserve">healthy/caries/cavity/gingivitis/gum_swelling/plaque</t>
  </si>
  <si>
    <t xml:space="preserve">DentalMate</t>
  </si>
  <si>
    <t xml:space="preserve">Multi (13 classes)</t>
  </si>
  <si>
    <t xml:space="preserve">01_RAW/MULTI/dentalmate/</t>
  </si>
  <si>
    <t xml:space="preserve">BASSE QUALITE (mAP@50 16%). ~7 classes caries-synonymes -&gt; remap. Filtrer dur</t>
  </si>
  <si>
    <t xml:space="preserve">YOLO dental obj ddt</t>
  </si>
  <si>
    <t xml:space="preserve">Multi</t>
  </si>
  <si>
    <t xml:space="preserve">yolo-dental/yolov5-obj-ddt</t>
  </si>
  <si>
    <t xml:space="preserve">01_RAW/MULTI/yolo_dental_obj_ddt/</t>
  </si>
  <si>
    <t xml:space="preserve">Classes redondantes -&gt; remap. Verifier data.yaml</t>
  </si>
  <si>
    <t xml:space="preserve">tooth-marked-tongue</t>
  </si>
  <si>
    <t xml:space="preserve">Langue (utilitaire)</t>
  </si>
  <si>
    <t xml:space="preserve">clearhanhui/biyesheji</t>
  </si>
  <si>
    <t xml:space="preserve">01_RAW/MULTI/tooth_marked_tongue/</t>
  </si>
  <si>
    <t xml:space="preserve">PAS pathologie cible. Pretraining region langue/intra-oral</t>
  </si>
  <si>
    <t xml:space="preserve">sitol2 oral 14k</t>
  </si>
  <si>
    <t xml:space="preserve">Multi (14 classes)</t>
  </si>
  <si>
    <t xml:space="preserve">sitol2/dataset-final-project</t>
  </si>
  <si>
    <t xml:space="preserve">01_RAW/MULTI/sitol2_oral_14k/</t>
  </si>
  <si>
    <t xml:space="preserve">FORT chevauchement Sajid. Classification</t>
  </si>
  <si>
    <t xml:space="preserve">pranta dental-segms</t>
  </si>
  <si>
    <t xml:space="preserve">Multi (4 classes)</t>
  </si>
  <si>
    <t xml:space="preserve">pranta/dental-segms</t>
  </si>
  <si>
    <t xml:space="preserve">01_RAW/MULTI/pranta_dental_segms/</t>
  </si>
  <si>
    <t xml:space="preserve">Rare: Periodontitis + Ulcer</t>
  </si>
  <si>
    <t xml:space="preserve">SKRIPSI YOLO11</t>
  </si>
  <si>
    <t xml:space="preserve">Multi (5 classes)</t>
  </si>
  <si>
    <t xml:space="preserve">skripsi-94ko2/skripsi-yolo11-c5uhj</t>
  </si>
  <si>
    <t xml:space="preserve">01_RAW/MULTI/skripsi_yolo11/</t>
  </si>
  <si>
    <t xml:space="preserve">2e source HYPODONTIE. Projet etudiant. calculus/caries/healthytooth/hypodontia/discoloration</t>
  </si>
  <si>
    <t xml:space="preserve">decolor (Clinician Anno)</t>
  </si>
  <si>
    <t xml:space="preserve">clinician-anno/decolor</t>
  </si>
  <si>
    <t xml:space="preserve">01_RAW/MULTI/decolor_clinician_anno/</t>
  </si>
  <si>
    <t xml:space="preserve">NOM TROMPEUR (pas decoloration). Rare: PERIODONTITE + EROSION</t>
  </si>
  <si>
    <t xml:space="preserve">thtthada</t>
  </si>
  <si>
    <t xml:space="preserve">Multi (10 classes)</t>
  </si>
  <si>
    <t xml:space="preserve">arshs-workspace21/thtthada</t>
  </si>
  <si>
    <t xml:space="preserve">01_RAW/MULTI/thtthada/</t>
  </si>
  <si>
    <t xml:space="preserve">SEULE source ABSCESS + spacing/misaligned/stains. Remap labels redondants</t>
  </si>
  <si>
    <t xml:space="preserve">Digital Health BG t98xc</t>
  </si>
  <si>
    <t xml:space="preserve">Decoloration</t>
  </si>
  <si>
    <t xml:space="preserve">digital-health-bg/t98xc</t>
  </si>
  <si>
    <t xml:space="preserve">01_RAW/DECOLORATION/digital_health_bg_t98xc/</t>
  </si>
  <si>
    <t xml:space="preserve">teeth-discoured</t>
  </si>
  <si>
    <t xml:space="preserve">Classes Tooth + Decoloration tooth</t>
  </si>
  <si>
    <t xml:space="preserve">TEETH and Discoured teeth</t>
  </si>
  <si>
    <t xml:space="preserve">digital-health-bg/teeth-and-discoured-teeth</t>
  </si>
  <si>
    <t xml:space="preserve">01_RAW/DECOLORATION/digital_health_bg_teeth_discoured/</t>
  </si>
  <si>
    <t xml:space="preserve">t98xc</t>
  </si>
  <si>
    <t xml:space="preserve">FRERE de t98xc (meme auteur/classes) -&gt; dedup obligatoire</t>
  </si>
  <si>
    <t xml:space="preserve">mouth (detection)</t>
  </si>
  <si>
    <t xml:space="preserve">Utilitaire (detection bouche)</t>
  </si>
  <si>
    <t xml:space="preserve">digital-health-bg/mouth-lt5hp-utb0j</t>
  </si>
  <si>
    <t xml:space="preserve">01_RAW/_UTILS_DETECTION/mouth_detection/</t>
  </si>
  <si>
    <t xml:space="preserve">BRIQUE TECHNIQUE - etape 1 pipeline (localiser/cropper bouche). PAS pathologie</t>
  </si>
  <si>
    <t xml:space="preserve">AI-Plaque (Rochester)</t>
  </si>
  <si>
    <t xml:space="preserve">Plaque (sans colorant)</t>
  </si>
  <si>
    <t xml:space="preserve">10.1145/3788680</t>
  </si>
  <si>
    <t xml:space="preserve">Photo (sans colorant)</t>
  </si>
  <si>
    <t xml:space="preserve">SEUL dataset plaque SANS colorant. Email Jin Xiao (groupe AICaries)</t>
  </si>
  <si>
    <t xml:space="preserve">SYNTHESE PAR PATHOLOGIE CIBLE</t>
  </si>
  <si>
    <t xml:space="preserve">Pathologie cible</t>
  </si>
  <si>
    <t xml:space="preserve">Datasets disponibles</t>
  </si>
  <si>
    <t xml:space="preserve">Couverture</t>
  </si>
  <si>
    <t xml:space="preserve">Manque / Action</t>
  </si>
  <si>
    <t xml:space="preserve">Mithi, AlphaDent, Caries-Spectra + classes multi</t>
  </si>
  <si>
    <t xml:space="preserve">TRES BONNE</t>
  </si>
  <si>
    <t xml:space="preserve">Rien (sature). AICaries si demande</t>
  </si>
  <si>
    <t xml:space="preserve">MGI Hanoi (pivot), Oral-Mamba, imageseg, +multi</t>
  </si>
  <si>
    <t xml:space="preserve">BONNE</t>
  </si>
  <si>
    <t xml:space="preserve">MGI 0-4 calibre OK</t>
  </si>
  <si>
    <t xml:space="preserve">Calculus / Tartre</t>
  </si>
  <si>
    <t xml:space="preserve">PKNU, Sajid-calculus, Oral-Mamba, MetaDent</t>
  </si>
  <si>
    <t xml:space="preserve">Sert aussi de proxy PLAQUE</t>
  </si>
  <si>
    <t xml:space="preserve">t98xc, TEETH-discoured (dedup), +SKRIPSI</t>
  </si>
  <si>
    <t xml:space="preserve">MOYENNE</t>
  </si>
  <si>
    <t xml:space="preserve">Volume faible (~285-489 apres dedup)</t>
  </si>
  <si>
    <t xml:space="preserve">Hypodontie</t>
  </si>
  <si>
    <t xml:space="preserve">Sajid (native), SKRIPSI</t>
  </si>
  <si>
    <t xml:space="preserve">FAIBLE</t>
  </si>
  <si>
    <t xml:space="preserve">Seulement 2 sources, rare</t>
  </si>
  <si>
    <t xml:space="preserve">Ulceres / Mouth ulcer</t>
  </si>
  <si>
    <t xml:space="preserve">MOD, pranta, sitol2, Sajid</t>
  </si>
  <si>
    <t xml:space="preserve">MOD = herpes/thrush/lichen</t>
  </si>
  <si>
    <t xml:space="preserve">OPMD / OSCC (cancer)</t>
  </si>
  <si>
    <t xml:space="preserve">CODE, SMART-OM, Chandrashekar, Kaggle x2</t>
  </si>
  <si>
    <t xml:space="preserve">TOP (MeMoSA/Cairo/Piyarathne) en SUR DEMANDE</t>
  </si>
  <si>
    <t xml:space="preserve">Proxy = Calculus uniquement</t>
  </si>
  <si>
    <t xml:space="preserve">GAP</t>
  </si>
  <si>
    <t xml:space="preserve">AI-Plaque Rochester SUR DEMANDE. Aucun libre</t>
  </si>
  <si>
    <t xml:space="preserve">Abscess</t>
  </si>
  <si>
    <t xml:space="preserve">Seule source</t>
  </si>
  <si>
    <t xml:space="preserve">Detection bouche (utilitaire)</t>
  </si>
  <si>
    <t xml:space="preserve">mouth</t>
  </si>
  <si>
    <t xml:space="preserve">OK</t>
  </si>
  <si>
    <t xml:space="preserve">Brique pipeline etape 1</t>
  </si>
  <si>
    <t xml:space="preserve">TOTAUX</t>
  </si>
  <si>
    <t xml:space="preserve">Datasets telecharges (libre)</t>
  </si>
  <si>
    <t xml:space="preserve">Datasets sur demande</t>
  </si>
  <si>
    <t xml:space="preserve">Datasets startup-OK (CC BY/MIT/Apache)</t>
  </si>
  <si>
    <t xml:space="preserve">Images cumulees (telechargees, hors doublons non deduit)</t>
  </si>
  <si>
    <t xml:space="preserve">DEMANDES D'ACCES A LANCER</t>
  </si>
  <si>
    <t xml:space="preserve">Dataset(s)</t>
  </si>
  <si>
    <t xml:space="preserve">Canal</t>
  </si>
  <si>
    <t xml:space="preserve">Pre-requis</t>
  </si>
  <si>
    <t xml:space="preserve">Note</t>
  </si>
  <si>
    <t xml:space="preserve">AICaries + AI-Plaque</t>
  </si>
  <si>
    <t xml:space="preserve">Email Jin Xiao (Rochester)</t>
  </si>
  <si>
    <t xml:space="preserve">Jin_Xiao@urmc.rochester.edu</t>
  </si>
  <si>
    <t xml:space="preserve">UN email debloque caries + plaque sans colorant</t>
  </si>
  <si>
    <t xml:space="preserve">Cairo/Ayman + Piyarathne</t>
  </si>
  <si>
    <t xml:space="preserve">Zenodo restricted</t>
  </si>
  <si>
    <t xml:space="preserve">Email institutionnel + PI nomme</t>
  </si>
  <si>
    <t xml:space="preserve">UN setup debloque les deux (OPMD/OSCC)</t>
  </si>
  <si>
    <t xml:space="preserve">Plateforme</t>
  </si>
  <si>
    <t xml:space="preserve">Creer compte workbench.memosa.my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</si>
</sst>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0F6E56"/>
      <name val="Arial"/>
      <family val="0"/>
      <charset val="1"/>
    </font>
    <font>
      <b val="true"/>
      <sz val="12"/>
      <color rgb="FF0F6E56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D6EFE6"/>
        <bgColor rgb="FFCCFFFF"/>
      </patternFill>
    </fill>
    <fill>
      <patternFill patternType="solid">
        <fgColor rgb="FFFFF2CC"/>
        <bgColor rgb="FFF7DDD2"/>
      </patternFill>
    </fill>
    <fill>
      <patternFill patternType="solid">
        <fgColor rgb="FFF7DDD2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F6E5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6EFE6"/>
          <bgColor rgb="FF000000"/>
        </patternFill>
      </fill>
    </dxf>
    <dxf>
      <fill>
        <patternFill patternType="solid">
          <fgColor rgb="FFF7DDD2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C0C0C0"/>
      <rgbColor rgb="FF808080"/>
      <rgbColor rgb="FF9999FF"/>
      <rgbColor rgb="FF993366"/>
      <rgbColor rgb="FFFFF2CC"/>
      <rgbColor rgb="FFD6EFE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7DDD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9"/>
    <col collapsed="false" customWidth="true" hidden="false" outlineLevel="0" max="6" min="6" style="0" width="16"/>
    <col collapsed="false" customWidth="true" hidden="false" outlineLevel="0" max="7" min="7" style="0" width="9"/>
    <col collapsed="false" customWidth="true" hidden="false" outlineLevel="0" max="8" min="8" style="0" width="18"/>
    <col collapsed="false" customWidth="true" hidden="false" outlineLevel="0" max="9" min="9" style="0" width="13"/>
    <col collapsed="false" customWidth="true" hidden="false" outlineLevel="0" max="10" min="10" style="0" width="38"/>
    <col collapsed="false" customWidth="true" hidden="false" outlineLevel="0" max="11" min="11" style="0" width="14"/>
    <col collapsed="false" customWidth="true" hidden="false" outlineLevel="0" max="12" min="12" style="0" width="50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3" t="n">
        <v>6313</v>
      </c>
      <c r="F2" s="2" t="s">
        <v>16</v>
      </c>
      <c r="G2" s="4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customFormat="false" ht="15" hidden="false" customHeight="false" outlineLevel="0" collapsed="false">
      <c r="A3" s="2" t="s">
        <v>23</v>
      </c>
      <c r="B3" s="2" t="s">
        <v>13</v>
      </c>
      <c r="C3" s="2" t="s">
        <v>24</v>
      </c>
      <c r="D3" s="2" t="s">
        <v>25</v>
      </c>
      <c r="E3" s="3" t="n">
        <v>1320</v>
      </c>
      <c r="F3" s="2" t="s">
        <v>26</v>
      </c>
      <c r="G3" s="4" t="s">
        <v>17</v>
      </c>
      <c r="H3" s="2" t="s">
        <v>27</v>
      </c>
      <c r="I3" s="2" t="s">
        <v>19</v>
      </c>
      <c r="J3" s="2" t="s">
        <v>28</v>
      </c>
      <c r="K3" s="2" t="s">
        <v>21</v>
      </c>
      <c r="L3" s="2" t="s">
        <v>29</v>
      </c>
    </row>
    <row r="4" customFormat="false" ht="15" hidden="false" customHeight="false" outlineLevel="0" collapsed="false">
      <c r="A4" s="2" t="s">
        <v>30</v>
      </c>
      <c r="B4" s="2" t="s">
        <v>13</v>
      </c>
      <c r="C4" s="2" t="s">
        <v>31</v>
      </c>
      <c r="D4" s="2" t="s">
        <v>32</v>
      </c>
      <c r="E4" s="3" t="n">
        <v>2000</v>
      </c>
      <c r="F4" s="2" t="s">
        <v>16</v>
      </c>
      <c r="G4" s="4" t="s">
        <v>17</v>
      </c>
      <c r="H4" s="2" t="s">
        <v>33</v>
      </c>
      <c r="I4" s="2" t="s">
        <v>19</v>
      </c>
      <c r="J4" s="2" t="s">
        <v>34</v>
      </c>
      <c r="K4" s="2" t="s">
        <v>21</v>
      </c>
      <c r="L4" s="2" t="s">
        <v>35</v>
      </c>
    </row>
    <row r="5" customFormat="false" ht="23.85" hidden="false" customHeight="false" outlineLevel="0" collapsed="false">
      <c r="A5" s="2" t="s">
        <v>36</v>
      </c>
      <c r="B5" s="2" t="s">
        <v>13</v>
      </c>
      <c r="C5" s="2" t="s">
        <v>37</v>
      </c>
      <c r="D5" s="2" t="s">
        <v>38</v>
      </c>
      <c r="E5" s="3"/>
      <c r="F5" s="2" t="s">
        <v>39</v>
      </c>
      <c r="G5" s="2" t="s">
        <v>40</v>
      </c>
      <c r="H5" s="2" t="s">
        <v>18</v>
      </c>
      <c r="I5" s="5" t="s">
        <v>41</v>
      </c>
      <c r="J5" s="2" t="s">
        <v>42</v>
      </c>
      <c r="K5" s="2" t="s">
        <v>21</v>
      </c>
      <c r="L5" s="2" t="s">
        <v>43</v>
      </c>
    </row>
    <row r="6" customFormat="false" ht="15" hidden="false" customHeight="false" outlineLevel="0" collapsed="false">
      <c r="A6" s="2" t="s">
        <v>44</v>
      </c>
      <c r="B6" s="2" t="s">
        <v>45</v>
      </c>
      <c r="C6" s="2" t="s">
        <v>31</v>
      </c>
      <c r="D6" s="2" t="s">
        <v>46</v>
      </c>
      <c r="E6" s="3" t="n">
        <v>1096</v>
      </c>
      <c r="F6" s="2" t="s">
        <v>16</v>
      </c>
      <c r="G6" s="4" t="s">
        <v>17</v>
      </c>
      <c r="H6" s="2" t="s">
        <v>47</v>
      </c>
      <c r="I6" s="2" t="s">
        <v>19</v>
      </c>
      <c r="J6" s="2" t="s">
        <v>48</v>
      </c>
      <c r="K6" s="2" t="s">
        <v>21</v>
      </c>
      <c r="L6" s="2" t="s">
        <v>49</v>
      </c>
    </row>
    <row r="7" customFormat="false" ht="23.85" hidden="false" customHeight="false" outlineLevel="0" collapsed="false">
      <c r="A7" s="2" t="s">
        <v>50</v>
      </c>
      <c r="B7" s="2" t="s">
        <v>51</v>
      </c>
      <c r="C7" s="2" t="s">
        <v>52</v>
      </c>
      <c r="D7" s="2" t="s">
        <v>53</v>
      </c>
      <c r="E7" s="3" t="n">
        <v>3365</v>
      </c>
      <c r="F7" s="2" t="s">
        <v>54</v>
      </c>
      <c r="G7" s="6" t="s">
        <v>55</v>
      </c>
      <c r="H7" s="2" t="s">
        <v>33</v>
      </c>
      <c r="I7" s="2" t="s">
        <v>19</v>
      </c>
      <c r="J7" s="2" t="s">
        <v>56</v>
      </c>
      <c r="K7" s="2" t="s">
        <v>57</v>
      </c>
      <c r="L7" s="2" t="s">
        <v>58</v>
      </c>
    </row>
    <row r="8" customFormat="false" ht="15" hidden="false" customHeight="false" outlineLevel="0" collapsed="false">
      <c r="A8" s="2" t="s">
        <v>59</v>
      </c>
      <c r="B8" s="2" t="s">
        <v>60</v>
      </c>
      <c r="C8" s="2" t="s">
        <v>24</v>
      </c>
      <c r="D8" s="2" t="s">
        <v>61</v>
      </c>
      <c r="E8" s="3" t="n">
        <v>220</v>
      </c>
      <c r="F8" s="2" t="s">
        <v>62</v>
      </c>
      <c r="G8" s="4" t="s">
        <v>17</v>
      </c>
      <c r="H8" s="2" t="s">
        <v>33</v>
      </c>
      <c r="I8" s="2" t="s">
        <v>19</v>
      </c>
      <c r="J8" s="2" t="s">
        <v>63</v>
      </c>
      <c r="K8" s="2" t="s">
        <v>21</v>
      </c>
      <c r="L8" s="2" t="s">
        <v>64</v>
      </c>
    </row>
    <row r="9" customFormat="false" ht="23.85" hidden="false" customHeight="false" outlineLevel="0" collapsed="false">
      <c r="A9" s="2" t="s">
        <v>65</v>
      </c>
      <c r="B9" s="2" t="s">
        <v>45</v>
      </c>
      <c r="C9" s="2" t="s">
        <v>66</v>
      </c>
      <c r="D9" s="2" t="s">
        <v>67</v>
      </c>
      <c r="E9" s="3" t="n">
        <v>162</v>
      </c>
      <c r="F9" s="2" t="s">
        <v>16</v>
      </c>
      <c r="G9" s="4" t="s">
        <v>17</v>
      </c>
      <c r="H9" s="2" t="s">
        <v>33</v>
      </c>
      <c r="I9" s="2" t="s">
        <v>19</v>
      </c>
      <c r="J9" s="2" t="s">
        <v>68</v>
      </c>
      <c r="K9" s="2" t="s">
        <v>57</v>
      </c>
      <c r="L9" s="2" t="s">
        <v>69</v>
      </c>
    </row>
    <row r="10" customFormat="false" ht="23.85" hidden="false" customHeight="false" outlineLevel="0" collapsed="false">
      <c r="A10" s="2" t="s">
        <v>70</v>
      </c>
      <c r="B10" s="2" t="s">
        <v>71</v>
      </c>
      <c r="C10" s="2" t="s">
        <v>72</v>
      </c>
      <c r="D10" s="2" t="s">
        <v>73</v>
      </c>
      <c r="E10" s="3"/>
      <c r="F10" s="2" t="s">
        <v>54</v>
      </c>
      <c r="G10" s="6" t="s">
        <v>55</v>
      </c>
      <c r="H10" s="2" t="s">
        <v>33</v>
      </c>
      <c r="I10" s="5" t="s">
        <v>41</v>
      </c>
      <c r="J10" s="2" t="s">
        <v>42</v>
      </c>
      <c r="K10" s="2" t="s">
        <v>21</v>
      </c>
      <c r="L10" s="2" t="s">
        <v>74</v>
      </c>
    </row>
    <row r="11" customFormat="false" ht="15" hidden="false" customHeight="false" outlineLevel="0" collapsed="false">
      <c r="A11" s="2" t="s">
        <v>75</v>
      </c>
      <c r="B11" s="2" t="s">
        <v>71</v>
      </c>
      <c r="C11" s="2" t="s">
        <v>76</v>
      </c>
      <c r="D11" s="2" t="s">
        <v>77</v>
      </c>
      <c r="E11" s="3"/>
      <c r="F11" s="2" t="s">
        <v>16</v>
      </c>
      <c r="G11" s="4" t="s">
        <v>17</v>
      </c>
      <c r="H11" s="2" t="s">
        <v>33</v>
      </c>
      <c r="I11" s="2" t="s">
        <v>19</v>
      </c>
      <c r="J11" s="2" t="s">
        <v>78</v>
      </c>
      <c r="K11" s="2" t="s">
        <v>79</v>
      </c>
      <c r="L11" s="2" t="s">
        <v>80</v>
      </c>
    </row>
    <row r="12" customFormat="false" ht="15" hidden="false" customHeight="false" outlineLevel="0" collapsed="false">
      <c r="A12" s="2" t="s">
        <v>79</v>
      </c>
      <c r="B12" s="2" t="s">
        <v>71</v>
      </c>
      <c r="C12" s="2" t="s">
        <v>76</v>
      </c>
      <c r="D12" s="2" t="s">
        <v>81</v>
      </c>
      <c r="E12" s="3" t="n">
        <v>2469</v>
      </c>
      <c r="F12" s="2" t="s">
        <v>16</v>
      </c>
      <c r="G12" s="4" t="s">
        <v>17</v>
      </c>
      <c r="H12" s="2" t="s">
        <v>33</v>
      </c>
      <c r="I12" s="2" t="s">
        <v>19</v>
      </c>
      <c r="J12" s="2" t="s">
        <v>82</v>
      </c>
      <c r="K12" s="2" t="s">
        <v>83</v>
      </c>
      <c r="L12" s="2" t="s">
        <v>84</v>
      </c>
    </row>
    <row r="13" customFormat="false" ht="23.85" hidden="false" customHeight="false" outlineLevel="0" collapsed="false">
      <c r="A13" s="2" t="s">
        <v>85</v>
      </c>
      <c r="B13" s="2" t="s">
        <v>71</v>
      </c>
      <c r="C13" s="2" t="s">
        <v>86</v>
      </c>
      <c r="D13" s="2" t="s">
        <v>87</v>
      </c>
      <c r="E13" s="3" t="n">
        <v>9201</v>
      </c>
      <c r="F13" s="2" t="s">
        <v>88</v>
      </c>
      <c r="G13" s="6" t="s">
        <v>55</v>
      </c>
      <c r="H13" s="2" t="s">
        <v>33</v>
      </c>
      <c r="I13" s="5" t="s">
        <v>41</v>
      </c>
      <c r="J13" s="2" t="s">
        <v>42</v>
      </c>
      <c r="K13" s="2" t="s">
        <v>21</v>
      </c>
      <c r="L13" s="2" t="s">
        <v>89</v>
      </c>
    </row>
    <row r="14" customFormat="false" ht="23.85" hidden="false" customHeight="false" outlineLevel="0" collapsed="false">
      <c r="A14" s="2" t="s">
        <v>90</v>
      </c>
      <c r="B14" s="2" t="s">
        <v>71</v>
      </c>
      <c r="C14" s="2" t="s">
        <v>86</v>
      </c>
      <c r="D14" s="2" t="s">
        <v>91</v>
      </c>
      <c r="E14" s="3" t="n">
        <v>3000</v>
      </c>
      <c r="F14" s="2" t="s">
        <v>54</v>
      </c>
      <c r="G14" s="6" t="s">
        <v>55</v>
      </c>
      <c r="H14" s="2" t="s">
        <v>33</v>
      </c>
      <c r="I14" s="5" t="s">
        <v>41</v>
      </c>
      <c r="J14" s="2" t="s">
        <v>42</v>
      </c>
      <c r="K14" s="2" t="s">
        <v>21</v>
      </c>
      <c r="L14" s="2" t="s">
        <v>92</v>
      </c>
    </row>
    <row r="15" customFormat="false" ht="23.85" hidden="false" customHeight="false" outlineLevel="0" collapsed="false">
      <c r="A15" s="2" t="s">
        <v>93</v>
      </c>
      <c r="B15" s="2" t="s">
        <v>71</v>
      </c>
      <c r="C15" s="2" t="s">
        <v>31</v>
      </c>
      <c r="D15" s="2" t="s">
        <v>94</v>
      </c>
      <c r="E15" s="3" t="n">
        <v>323</v>
      </c>
      <c r="F15" s="2" t="s">
        <v>16</v>
      </c>
      <c r="G15" s="4" t="s">
        <v>17</v>
      </c>
      <c r="H15" s="2" t="s">
        <v>33</v>
      </c>
      <c r="I15" s="2" t="s">
        <v>19</v>
      </c>
      <c r="J15" s="2" t="s">
        <v>95</v>
      </c>
      <c r="K15" s="2" t="s">
        <v>21</v>
      </c>
      <c r="L15" s="2" t="s">
        <v>96</v>
      </c>
    </row>
    <row r="16" customFormat="false" ht="23.85" hidden="false" customHeight="false" outlineLevel="0" collapsed="false">
      <c r="A16" s="2" t="s">
        <v>97</v>
      </c>
      <c r="B16" s="2" t="s">
        <v>71</v>
      </c>
      <c r="C16" s="2" t="s">
        <v>98</v>
      </c>
      <c r="D16" s="2" t="s">
        <v>99</v>
      </c>
      <c r="E16" s="3" t="n">
        <v>131</v>
      </c>
      <c r="F16" s="2" t="s">
        <v>100</v>
      </c>
      <c r="G16" s="6" t="s">
        <v>55</v>
      </c>
      <c r="H16" s="2" t="s">
        <v>33</v>
      </c>
      <c r="I16" s="2" t="s">
        <v>19</v>
      </c>
      <c r="J16" s="2" t="s">
        <v>101</v>
      </c>
      <c r="K16" s="2" t="s">
        <v>21</v>
      </c>
      <c r="L16" s="2" t="s">
        <v>102</v>
      </c>
    </row>
    <row r="17" customFormat="false" ht="23.85" hidden="false" customHeight="false" outlineLevel="0" collapsed="false">
      <c r="A17" s="2" t="s">
        <v>103</v>
      </c>
      <c r="B17" s="2" t="s">
        <v>71</v>
      </c>
      <c r="C17" s="2" t="s">
        <v>98</v>
      </c>
      <c r="D17" s="2" t="s">
        <v>104</v>
      </c>
      <c r="E17" s="3" t="n">
        <v>241</v>
      </c>
      <c r="F17" s="2" t="s">
        <v>105</v>
      </c>
      <c r="G17" s="6" t="s">
        <v>55</v>
      </c>
      <c r="H17" s="2" t="s">
        <v>33</v>
      </c>
      <c r="I17" s="2" t="s">
        <v>19</v>
      </c>
      <c r="J17" s="2" t="s">
        <v>106</v>
      </c>
      <c r="K17" s="2" t="s">
        <v>40</v>
      </c>
      <c r="L17" s="2" t="s">
        <v>107</v>
      </c>
    </row>
    <row r="18" customFormat="false" ht="23.85" hidden="false" customHeight="false" outlineLevel="0" collapsed="false">
      <c r="A18" s="2" t="s">
        <v>108</v>
      </c>
      <c r="B18" s="2" t="s">
        <v>109</v>
      </c>
      <c r="C18" s="2" t="s">
        <v>110</v>
      </c>
      <c r="D18" s="2" t="s">
        <v>111</v>
      </c>
      <c r="E18" s="3" t="n">
        <v>60669</v>
      </c>
      <c r="F18" s="2" t="s">
        <v>112</v>
      </c>
      <c r="G18" s="6" t="s">
        <v>55</v>
      </c>
      <c r="H18" s="2" t="s">
        <v>113</v>
      </c>
      <c r="I18" s="2" t="s">
        <v>19</v>
      </c>
      <c r="J18" s="2" t="s">
        <v>114</v>
      </c>
      <c r="K18" s="2" t="s">
        <v>57</v>
      </c>
      <c r="L18" s="2" t="s">
        <v>115</v>
      </c>
    </row>
    <row r="19" customFormat="false" ht="23.85" hidden="false" customHeight="false" outlineLevel="0" collapsed="false">
      <c r="A19" s="2" t="s">
        <v>116</v>
      </c>
      <c r="B19" s="2" t="s">
        <v>117</v>
      </c>
      <c r="C19" s="2" t="s">
        <v>98</v>
      </c>
      <c r="D19" s="2" t="s">
        <v>118</v>
      </c>
      <c r="E19" s="3" t="n">
        <v>12653</v>
      </c>
      <c r="F19" s="2" t="s">
        <v>105</v>
      </c>
      <c r="G19" s="6" t="s">
        <v>55</v>
      </c>
      <c r="H19" s="2" t="s">
        <v>33</v>
      </c>
      <c r="I19" s="2" t="s">
        <v>19</v>
      </c>
      <c r="J19" s="2" t="s">
        <v>119</v>
      </c>
      <c r="K19" s="2" t="s">
        <v>120</v>
      </c>
      <c r="L19" s="2" t="s">
        <v>121</v>
      </c>
    </row>
    <row r="20" customFormat="false" ht="23.85" hidden="false" customHeight="false" outlineLevel="0" collapsed="false">
      <c r="A20" s="2" t="s">
        <v>122</v>
      </c>
      <c r="B20" s="2" t="s">
        <v>123</v>
      </c>
      <c r="C20" s="2" t="s">
        <v>98</v>
      </c>
      <c r="D20" s="2" t="s">
        <v>124</v>
      </c>
      <c r="E20" s="3" t="n">
        <v>516</v>
      </c>
      <c r="F20" s="2" t="s">
        <v>105</v>
      </c>
      <c r="G20" s="6" t="s">
        <v>55</v>
      </c>
      <c r="H20" s="2" t="s">
        <v>33</v>
      </c>
      <c r="I20" s="2" t="s">
        <v>19</v>
      </c>
      <c r="J20" s="2" t="s">
        <v>125</v>
      </c>
      <c r="K20" s="2" t="s">
        <v>21</v>
      </c>
      <c r="L20" s="2" t="s">
        <v>126</v>
      </c>
    </row>
    <row r="21" customFormat="false" ht="23.85" hidden="false" customHeight="false" outlineLevel="0" collapsed="false">
      <c r="A21" s="2" t="s">
        <v>127</v>
      </c>
      <c r="B21" s="2" t="s">
        <v>128</v>
      </c>
      <c r="C21" s="2" t="s">
        <v>66</v>
      </c>
      <c r="D21" s="2" t="s">
        <v>129</v>
      </c>
      <c r="E21" s="3" t="n">
        <v>5396</v>
      </c>
      <c r="F21" s="2" t="s">
        <v>16</v>
      </c>
      <c r="G21" s="4" t="s">
        <v>17</v>
      </c>
      <c r="H21" s="2" t="s">
        <v>33</v>
      </c>
      <c r="I21" s="2" t="s">
        <v>19</v>
      </c>
      <c r="J21" s="2" t="s">
        <v>130</v>
      </c>
      <c r="K21" s="2" t="s">
        <v>57</v>
      </c>
      <c r="L21" s="2" t="s">
        <v>131</v>
      </c>
    </row>
    <row r="22" customFormat="false" ht="23.85" hidden="false" customHeight="false" outlineLevel="0" collapsed="false">
      <c r="A22" s="2" t="s">
        <v>132</v>
      </c>
      <c r="B22" s="2" t="s">
        <v>133</v>
      </c>
      <c r="C22" s="2" t="s">
        <v>66</v>
      </c>
      <c r="D22" s="2" t="s">
        <v>132</v>
      </c>
      <c r="E22" s="3" t="n">
        <v>7987</v>
      </c>
      <c r="F22" s="2" t="s">
        <v>16</v>
      </c>
      <c r="G22" s="4" t="s">
        <v>17</v>
      </c>
      <c r="H22" s="2" t="s">
        <v>33</v>
      </c>
      <c r="I22" s="2" t="s">
        <v>19</v>
      </c>
      <c r="J22" s="2" t="s">
        <v>134</v>
      </c>
      <c r="K22" s="2" t="s">
        <v>57</v>
      </c>
      <c r="L22" s="2" t="s">
        <v>135</v>
      </c>
    </row>
    <row r="23" customFormat="false" ht="15" hidden="false" customHeight="false" outlineLevel="0" collapsed="false">
      <c r="A23" s="2" t="s">
        <v>136</v>
      </c>
      <c r="B23" s="2" t="s">
        <v>137</v>
      </c>
      <c r="C23" s="2" t="s">
        <v>66</v>
      </c>
      <c r="D23" s="2" t="s">
        <v>138</v>
      </c>
      <c r="E23" s="3" t="n">
        <v>4950</v>
      </c>
      <c r="F23" s="2" t="s">
        <v>16</v>
      </c>
      <c r="G23" s="4" t="s">
        <v>17</v>
      </c>
      <c r="H23" s="2" t="s">
        <v>33</v>
      </c>
      <c r="I23" s="2" t="s">
        <v>19</v>
      </c>
      <c r="J23" s="2" t="s">
        <v>139</v>
      </c>
      <c r="K23" s="2" t="s">
        <v>57</v>
      </c>
      <c r="L23" s="2" t="s">
        <v>140</v>
      </c>
    </row>
    <row r="24" customFormat="false" ht="15" hidden="false" customHeight="false" outlineLevel="0" collapsed="false">
      <c r="A24" s="2" t="s">
        <v>141</v>
      </c>
      <c r="B24" s="2" t="s">
        <v>142</v>
      </c>
      <c r="C24" s="2" t="s">
        <v>98</v>
      </c>
      <c r="D24" s="2" t="s">
        <v>143</v>
      </c>
      <c r="E24" s="3" t="n">
        <v>1250</v>
      </c>
      <c r="F24" s="2" t="s">
        <v>105</v>
      </c>
      <c r="G24" s="6" t="s">
        <v>55</v>
      </c>
      <c r="H24" s="2" t="s">
        <v>33</v>
      </c>
      <c r="I24" s="2" t="s">
        <v>19</v>
      </c>
      <c r="J24" s="2" t="s">
        <v>144</v>
      </c>
      <c r="K24" s="2" t="s">
        <v>21</v>
      </c>
      <c r="L24" s="2" t="s">
        <v>145</v>
      </c>
    </row>
    <row r="25" customFormat="false" ht="15" hidden="false" customHeight="false" outlineLevel="0" collapsed="false">
      <c r="A25" s="2" t="s">
        <v>146</v>
      </c>
      <c r="B25" s="2" t="s">
        <v>147</v>
      </c>
      <c r="C25" s="2" t="s">
        <v>66</v>
      </c>
      <c r="D25" s="2" t="s">
        <v>148</v>
      </c>
      <c r="E25" s="3" t="n">
        <v>14253</v>
      </c>
      <c r="F25" s="2" t="s">
        <v>105</v>
      </c>
      <c r="G25" s="6" t="s">
        <v>55</v>
      </c>
      <c r="H25" s="2" t="s">
        <v>33</v>
      </c>
      <c r="I25" s="2" t="s">
        <v>19</v>
      </c>
      <c r="J25" s="2" t="s">
        <v>149</v>
      </c>
      <c r="K25" s="2" t="s">
        <v>57</v>
      </c>
      <c r="L25" s="2" t="s">
        <v>150</v>
      </c>
    </row>
    <row r="26" customFormat="false" ht="15" hidden="false" customHeight="false" outlineLevel="0" collapsed="false">
      <c r="A26" s="2" t="s">
        <v>151</v>
      </c>
      <c r="B26" s="2" t="s">
        <v>152</v>
      </c>
      <c r="C26" s="2" t="s">
        <v>66</v>
      </c>
      <c r="D26" s="2" t="s">
        <v>153</v>
      </c>
      <c r="E26" s="3" t="n">
        <v>584</v>
      </c>
      <c r="F26" s="2" t="s">
        <v>16</v>
      </c>
      <c r="G26" s="4" t="s">
        <v>17</v>
      </c>
      <c r="H26" s="2" t="s">
        <v>33</v>
      </c>
      <c r="I26" s="2" t="s">
        <v>19</v>
      </c>
      <c r="J26" s="2" t="s">
        <v>154</v>
      </c>
      <c r="K26" s="2" t="s">
        <v>57</v>
      </c>
      <c r="L26" s="2" t="s">
        <v>155</v>
      </c>
    </row>
    <row r="27" customFormat="false" ht="23.85" hidden="false" customHeight="false" outlineLevel="0" collapsed="false">
      <c r="A27" s="2" t="s">
        <v>156</v>
      </c>
      <c r="B27" s="2" t="s">
        <v>157</v>
      </c>
      <c r="C27" s="2" t="s">
        <v>66</v>
      </c>
      <c r="D27" s="2" t="s">
        <v>158</v>
      </c>
      <c r="E27" s="3" t="n">
        <v>2308</v>
      </c>
      <c r="F27" s="2" t="s">
        <v>16</v>
      </c>
      <c r="G27" s="4" t="s">
        <v>17</v>
      </c>
      <c r="H27" s="2" t="s">
        <v>33</v>
      </c>
      <c r="I27" s="2" t="s">
        <v>19</v>
      </c>
      <c r="J27" s="2" t="s">
        <v>159</v>
      </c>
      <c r="K27" s="2" t="s">
        <v>57</v>
      </c>
      <c r="L27" s="2" t="s">
        <v>160</v>
      </c>
    </row>
    <row r="28" customFormat="false" ht="23.85" hidden="false" customHeight="false" outlineLevel="0" collapsed="false">
      <c r="A28" s="2" t="s">
        <v>161</v>
      </c>
      <c r="B28" s="2" t="s">
        <v>152</v>
      </c>
      <c r="C28" s="2" t="s">
        <v>66</v>
      </c>
      <c r="D28" s="2" t="s">
        <v>162</v>
      </c>
      <c r="E28" s="3" t="n">
        <v>64</v>
      </c>
      <c r="F28" s="2" t="s">
        <v>16</v>
      </c>
      <c r="G28" s="4" t="s">
        <v>17</v>
      </c>
      <c r="H28" s="2" t="s">
        <v>33</v>
      </c>
      <c r="I28" s="2" t="s">
        <v>19</v>
      </c>
      <c r="J28" s="2" t="s">
        <v>163</v>
      </c>
      <c r="K28" s="2" t="s">
        <v>21</v>
      </c>
      <c r="L28" s="2" t="s">
        <v>164</v>
      </c>
    </row>
    <row r="29" customFormat="false" ht="23.85" hidden="false" customHeight="false" outlineLevel="0" collapsed="false">
      <c r="A29" s="2" t="s">
        <v>165</v>
      </c>
      <c r="B29" s="2" t="s">
        <v>166</v>
      </c>
      <c r="C29" s="2" t="s">
        <v>66</v>
      </c>
      <c r="D29" s="2" t="s">
        <v>167</v>
      </c>
      <c r="E29" s="3" t="n">
        <v>3796</v>
      </c>
      <c r="F29" s="2" t="s">
        <v>105</v>
      </c>
      <c r="G29" s="6" t="s">
        <v>55</v>
      </c>
      <c r="H29" s="2" t="s">
        <v>33</v>
      </c>
      <c r="I29" s="2" t="s">
        <v>19</v>
      </c>
      <c r="J29" s="2" t="s">
        <v>168</v>
      </c>
      <c r="K29" s="2" t="s">
        <v>57</v>
      </c>
      <c r="L29" s="2" t="s">
        <v>169</v>
      </c>
    </row>
    <row r="30" customFormat="false" ht="23.85" hidden="false" customHeight="false" outlineLevel="0" collapsed="false">
      <c r="A30" s="2" t="s">
        <v>170</v>
      </c>
      <c r="B30" s="2" t="s">
        <v>171</v>
      </c>
      <c r="C30" s="2" t="s">
        <v>66</v>
      </c>
      <c r="D30" s="2" t="s">
        <v>172</v>
      </c>
      <c r="E30" s="3" t="n">
        <v>204</v>
      </c>
      <c r="F30" s="2" t="s">
        <v>16</v>
      </c>
      <c r="G30" s="4" t="s">
        <v>17</v>
      </c>
      <c r="H30" s="2" t="s">
        <v>33</v>
      </c>
      <c r="I30" s="2" t="s">
        <v>19</v>
      </c>
      <c r="J30" s="2" t="s">
        <v>173</v>
      </c>
      <c r="K30" s="2" t="s">
        <v>174</v>
      </c>
      <c r="L30" s="2" t="s">
        <v>175</v>
      </c>
    </row>
    <row r="31" customFormat="false" ht="23.85" hidden="false" customHeight="false" outlineLevel="0" collapsed="false">
      <c r="A31" s="2" t="s">
        <v>176</v>
      </c>
      <c r="B31" s="2" t="s">
        <v>171</v>
      </c>
      <c r="C31" s="2" t="s">
        <v>66</v>
      </c>
      <c r="D31" s="2" t="s">
        <v>177</v>
      </c>
      <c r="E31" s="3" t="n">
        <v>285</v>
      </c>
      <c r="F31" s="2" t="s">
        <v>16</v>
      </c>
      <c r="G31" s="4" t="s">
        <v>17</v>
      </c>
      <c r="H31" s="2" t="s">
        <v>33</v>
      </c>
      <c r="I31" s="2" t="s">
        <v>19</v>
      </c>
      <c r="J31" s="2" t="s">
        <v>178</v>
      </c>
      <c r="K31" s="2" t="s">
        <v>179</v>
      </c>
      <c r="L31" s="2" t="s">
        <v>180</v>
      </c>
    </row>
    <row r="32" customFormat="false" ht="23.85" hidden="false" customHeight="false" outlineLevel="0" collapsed="false">
      <c r="A32" s="2" t="s">
        <v>181</v>
      </c>
      <c r="B32" s="2" t="s">
        <v>182</v>
      </c>
      <c r="C32" s="2" t="s">
        <v>66</v>
      </c>
      <c r="D32" s="2" t="s">
        <v>183</v>
      </c>
      <c r="E32" s="3" t="n">
        <v>2000</v>
      </c>
      <c r="F32" s="2" t="s">
        <v>16</v>
      </c>
      <c r="G32" s="4" t="s">
        <v>17</v>
      </c>
      <c r="H32" s="2" t="s">
        <v>33</v>
      </c>
      <c r="I32" s="2" t="s">
        <v>19</v>
      </c>
      <c r="J32" s="2" t="s">
        <v>184</v>
      </c>
      <c r="K32" s="2" t="s">
        <v>21</v>
      </c>
      <c r="L32" s="2" t="s">
        <v>185</v>
      </c>
    </row>
    <row r="33" customFormat="false" ht="23.85" hidden="false" customHeight="false" outlineLevel="0" collapsed="false">
      <c r="A33" s="2" t="s">
        <v>186</v>
      </c>
      <c r="B33" s="2" t="s">
        <v>187</v>
      </c>
      <c r="C33" s="2" t="s">
        <v>37</v>
      </c>
      <c r="D33" s="2" t="s">
        <v>188</v>
      </c>
      <c r="E33" s="3" t="n">
        <v>415</v>
      </c>
      <c r="F33" s="2" t="s">
        <v>39</v>
      </c>
      <c r="G33" s="2" t="s">
        <v>40</v>
      </c>
      <c r="H33" s="2" t="s">
        <v>189</v>
      </c>
      <c r="I33" s="5" t="s">
        <v>41</v>
      </c>
      <c r="J33" s="2" t="s">
        <v>42</v>
      </c>
      <c r="K33" s="2" t="s">
        <v>21</v>
      </c>
      <c r="L33" s="2" t="s">
        <v>190</v>
      </c>
    </row>
  </sheetData>
  <autoFilter ref="A1:L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5"/>
    <col collapsed="false" customWidth="true" hidden="false" outlineLevel="0" max="3" min="3" style="0" width="14"/>
    <col collapsed="false" customWidth="true" hidden="false" outlineLevel="0" max="4" min="4" style="0" width="45"/>
  </cols>
  <sheetData>
    <row r="1" customFormat="false" ht="16.15" hidden="false" customHeight="false" outlineLevel="0" collapsed="false">
      <c r="A1" s="7" t="s">
        <v>191</v>
      </c>
    </row>
    <row r="3" customFormat="false" ht="15" hidden="false" customHeight="false" outlineLevel="0" collapsed="false">
      <c r="A3" s="8" t="s">
        <v>192</v>
      </c>
      <c r="B3" s="8" t="s">
        <v>193</v>
      </c>
      <c r="C3" s="8" t="s">
        <v>194</v>
      </c>
      <c r="D3" s="8" t="s">
        <v>195</v>
      </c>
    </row>
    <row r="4" customFormat="false" ht="15" hidden="false" customHeight="false" outlineLevel="0" collapsed="false">
      <c r="A4" s="2" t="s">
        <v>13</v>
      </c>
      <c r="B4" s="2" t="s">
        <v>196</v>
      </c>
      <c r="C4" s="4" t="s">
        <v>197</v>
      </c>
      <c r="D4" s="2" t="s">
        <v>198</v>
      </c>
    </row>
    <row r="5" customFormat="false" ht="15" hidden="false" customHeight="false" outlineLevel="0" collapsed="false">
      <c r="A5" s="2" t="s">
        <v>45</v>
      </c>
      <c r="B5" s="2" t="s">
        <v>199</v>
      </c>
      <c r="C5" s="4" t="s">
        <v>200</v>
      </c>
      <c r="D5" s="2" t="s">
        <v>201</v>
      </c>
    </row>
    <row r="6" customFormat="false" ht="15" hidden="false" customHeight="false" outlineLevel="0" collapsed="false">
      <c r="A6" s="2" t="s">
        <v>202</v>
      </c>
      <c r="B6" s="2" t="s">
        <v>203</v>
      </c>
      <c r="C6" s="4" t="s">
        <v>200</v>
      </c>
      <c r="D6" s="2" t="s">
        <v>204</v>
      </c>
    </row>
    <row r="7" customFormat="false" ht="15" hidden="false" customHeight="false" outlineLevel="0" collapsed="false">
      <c r="A7" s="2" t="s">
        <v>171</v>
      </c>
      <c r="B7" s="2" t="s">
        <v>205</v>
      </c>
      <c r="C7" s="5" t="s">
        <v>206</v>
      </c>
      <c r="D7" s="2" t="s">
        <v>207</v>
      </c>
    </row>
    <row r="8" customFormat="false" ht="15" hidden="false" customHeight="false" outlineLevel="0" collapsed="false">
      <c r="A8" s="2" t="s">
        <v>208</v>
      </c>
      <c r="B8" s="2" t="s">
        <v>209</v>
      </c>
      <c r="C8" s="6" t="s">
        <v>210</v>
      </c>
      <c r="D8" s="2" t="s">
        <v>211</v>
      </c>
    </row>
    <row r="9" customFormat="false" ht="15" hidden="false" customHeight="false" outlineLevel="0" collapsed="false">
      <c r="A9" s="2" t="s">
        <v>212</v>
      </c>
      <c r="B9" s="2" t="s">
        <v>213</v>
      </c>
      <c r="C9" s="5" t="s">
        <v>206</v>
      </c>
      <c r="D9" s="2" t="s">
        <v>214</v>
      </c>
    </row>
    <row r="10" customFormat="false" ht="15" hidden="false" customHeight="false" outlineLevel="0" collapsed="false">
      <c r="A10" s="2" t="s">
        <v>215</v>
      </c>
      <c r="B10" s="2" t="s">
        <v>216</v>
      </c>
      <c r="C10" s="5" t="s">
        <v>206</v>
      </c>
      <c r="D10" s="2" t="s">
        <v>217</v>
      </c>
    </row>
    <row r="11" customFormat="false" ht="15" hidden="false" customHeight="false" outlineLevel="0" collapsed="false">
      <c r="A11" s="2" t="s">
        <v>187</v>
      </c>
      <c r="B11" s="2" t="s">
        <v>218</v>
      </c>
      <c r="C11" s="6" t="s">
        <v>219</v>
      </c>
      <c r="D11" s="2" t="s">
        <v>220</v>
      </c>
    </row>
    <row r="12" customFormat="false" ht="15" hidden="false" customHeight="false" outlineLevel="0" collapsed="false">
      <c r="A12" s="2" t="s">
        <v>221</v>
      </c>
      <c r="B12" s="2" t="s">
        <v>165</v>
      </c>
      <c r="C12" s="6" t="s">
        <v>210</v>
      </c>
      <c r="D12" s="2" t="s">
        <v>222</v>
      </c>
    </row>
    <row r="13" customFormat="false" ht="15" hidden="false" customHeight="false" outlineLevel="0" collapsed="false">
      <c r="A13" s="2" t="s">
        <v>223</v>
      </c>
      <c r="B13" s="2" t="s">
        <v>224</v>
      </c>
      <c r="C13" s="4" t="s">
        <v>225</v>
      </c>
      <c r="D13" s="2" t="s">
        <v>226</v>
      </c>
    </row>
    <row r="16" customFormat="false" ht="15" hidden="false" customHeight="false" outlineLevel="0" collapsed="false">
      <c r="A16" s="9" t="s">
        <v>227</v>
      </c>
    </row>
    <row r="17" customFormat="false" ht="15" hidden="false" customHeight="false" outlineLevel="0" collapsed="false">
      <c r="A17" s="10" t="s">
        <v>228</v>
      </c>
      <c r="B17" s="11" t="n">
        <f aca="false">COUNTIF(Inventaire!I:I,"Telecharge")</f>
        <v>27</v>
      </c>
    </row>
    <row r="18" customFormat="false" ht="15" hidden="false" customHeight="false" outlineLevel="0" collapsed="false">
      <c r="A18" s="10" t="s">
        <v>229</v>
      </c>
      <c r="B18" s="11" t="n">
        <f aca="false">COUNTIF(Inventaire!I:I,"SUR DEMANDE")</f>
        <v>5</v>
      </c>
    </row>
    <row r="19" customFormat="false" ht="15" hidden="false" customHeight="false" outlineLevel="0" collapsed="false">
      <c r="A19" s="10" t="s">
        <v>230</v>
      </c>
      <c r="B19" s="11" t="n">
        <f aca="false">COUNTIF(Inventaire!G:G,"OUI")</f>
        <v>18</v>
      </c>
    </row>
    <row r="20" customFormat="false" ht="15" hidden="false" customHeight="false" outlineLevel="0" collapsed="false">
      <c r="A20" s="10" t="s">
        <v>231</v>
      </c>
      <c r="B20" s="11" t="n">
        <f aca="false">SUM(Inventaire!E2:E31)</f>
        <v>144756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4" min="4" style="0" width="45"/>
  </cols>
  <sheetData>
    <row r="1" customFormat="false" ht="16.15" hidden="false" customHeight="false" outlineLevel="0" collapsed="false">
      <c r="A1" s="7" t="s">
        <v>232</v>
      </c>
    </row>
    <row r="3" customFormat="false" ht="15" hidden="false" customHeight="false" outlineLevel="0" collapsed="false">
      <c r="A3" s="8" t="s">
        <v>233</v>
      </c>
      <c r="B3" s="8" t="s">
        <v>234</v>
      </c>
      <c r="C3" s="8" t="s">
        <v>235</v>
      </c>
      <c r="D3" s="8" t="s">
        <v>236</v>
      </c>
    </row>
    <row r="4" customFormat="false" ht="15" hidden="false" customHeight="false" outlineLevel="0" collapsed="false">
      <c r="A4" s="5" t="s">
        <v>237</v>
      </c>
      <c r="B4" s="5" t="s">
        <v>238</v>
      </c>
      <c r="C4" s="5" t="s">
        <v>239</v>
      </c>
      <c r="D4" s="5" t="s">
        <v>240</v>
      </c>
    </row>
    <row r="5" customFormat="false" ht="15" hidden="false" customHeight="false" outlineLevel="0" collapsed="false">
      <c r="A5" s="5" t="s">
        <v>241</v>
      </c>
      <c r="B5" s="5" t="s">
        <v>242</v>
      </c>
      <c r="C5" s="5" t="s">
        <v>243</v>
      </c>
      <c r="D5" s="5" t="s">
        <v>244</v>
      </c>
    </row>
    <row r="6" customFormat="false" ht="15" hidden="false" customHeight="false" outlineLevel="0" collapsed="false">
      <c r="A6" s="5" t="s">
        <v>70</v>
      </c>
      <c r="B6" s="5" t="s">
        <v>245</v>
      </c>
      <c r="C6" s="5" t="s">
        <v>246</v>
      </c>
      <c r="D6" s="5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2026-06-02T17:35:18Z</dcterms:created>
  <dc:creator>openpyxl</dc:creator>
  <dc:description/>
  <dc:language>en-US</dc:language>
  <cp:lastModifiedBy/>
  <dcterms:modified xsi:type="dcterms:W3CDTF">2026-06-02T17:35:18Z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